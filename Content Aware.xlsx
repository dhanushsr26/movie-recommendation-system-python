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anush-Project\Data Mining\Recommendation System\"/>
    </mc:Choice>
  </mc:AlternateContent>
  <xr:revisionPtr revIDLastSave="0" documentId="13_ncr:1_{6BF8A471-1731-4F35-8E49-4F9AC0F8E73C}" xr6:coauthVersionLast="47" xr6:coauthVersionMax="47" xr10:uidLastSave="{00000000-0000-0000-0000-000000000000}"/>
  <bookViews>
    <workbookView xWindow="0" yWindow="384" windowWidth="23040" windowHeight="12240" xr2:uid="{6C24795F-D13C-4855-924C-915196422990}"/>
  </bookViews>
  <sheets>
    <sheet name="Movies 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C13" i="1"/>
  <c r="D13" i="1"/>
  <c r="E13" i="1"/>
  <c r="B13" i="1"/>
  <c r="E22" i="1" l="1"/>
  <c r="D22" i="1"/>
  <c r="B22" i="1"/>
  <c r="C22" i="1"/>
  <c r="C23" i="1" l="1"/>
  <c r="I15" i="1" s="1"/>
  <c r="B23" i="1"/>
  <c r="D23" i="1"/>
  <c r="E23" i="1"/>
  <c r="I14" i="1" l="1"/>
  <c r="I13" i="1"/>
  <c r="K15" i="1"/>
  <c r="K13" i="1"/>
  <c r="K14" i="1"/>
  <c r="H14" i="1"/>
  <c r="H13" i="1"/>
  <c r="H15" i="1"/>
  <c r="J15" i="1"/>
  <c r="J13" i="1"/>
  <c r="J14" i="1"/>
  <c r="M15" i="1" l="1"/>
  <c r="H23" i="1" s="1"/>
  <c r="M13" i="1"/>
  <c r="H21" i="1" s="1"/>
  <c r="M14" i="1"/>
  <c r="H22" i="1" s="1"/>
</calcChain>
</file>

<file path=xl/sharedStrings.xml><?xml version="1.0" encoding="utf-8"?>
<sst xmlns="http://schemas.openxmlformats.org/spreadsheetml/2006/main" count="51" uniqueCount="20">
  <si>
    <t>Movie</t>
  </si>
  <si>
    <t>Adventure</t>
  </si>
  <si>
    <t>Super Hero</t>
  </si>
  <si>
    <t>Comedy</t>
  </si>
  <si>
    <t>Sci-Fi</t>
  </si>
  <si>
    <t>Batman v Superman</t>
  </si>
  <si>
    <t>Guardians of the Galaxy</t>
  </si>
  <si>
    <t>Captain America: Civil War</t>
  </si>
  <si>
    <t>Hitchhiker's Guide to Galaxy</t>
  </si>
  <si>
    <t>Batman Begins</t>
  </si>
  <si>
    <t>Spiderman</t>
  </si>
  <si>
    <t>User Rating (1-10)</t>
  </si>
  <si>
    <t>Weghing the genre</t>
  </si>
  <si>
    <t>Aggregate</t>
  </si>
  <si>
    <t>Movie Genre</t>
  </si>
  <si>
    <t>User Profile</t>
  </si>
  <si>
    <t>Weight</t>
  </si>
  <si>
    <t>Weighted Movie Matrix</t>
  </si>
  <si>
    <t>Weighted Average</t>
  </si>
  <si>
    <t>Predicted Rating (1-10)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</si>
</sst>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2" borderId="2" xfId="1" applyAlignment="1">
      <alignment horizontal="center" vertical="center"/>
    </xf>
    <xf numFmtId="0" fontId="1" fillId="2" borderId="2" xfId="1" applyAlignment="1">
      <alignment horizontal="left" vertical="center"/>
    </xf>
    <xf numFmtId="0" fontId="1" fillId="2" borderId="0" xfId="1" applyBorder="1" applyAlignment="1">
      <alignment horizontal="left" vertical="center"/>
    </xf>
    <xf numFmtId="0" fontId="1" fillId="2" borderId="0" xfId="1" applyBorder="1" applyAlignment="1">
      <alignment horizontal="center" vertical="center"/>
    </xf>
    <xf numFmtId="0" fontId="2" fillId="2" borderId="1" xfId="2"/>
    <xf numFmtId="0" fontId="4" fillId="0" borderId="0" xfId="0" applyFont="1"/>
    <xf numFmtId="0" fontId="4" fillId="3" borderId="3" xfId="3" applyFont="1" applyBorder="1"/>
  </cellXfs>
  <cellStyles count="4">
    <cellStyle name="20% - Accent3" xfId="3" builtinId="38"/>
    <cellStyle name="Calculation" xfId="2" builtinId="22"/>
    <cellStyle name="Normal" xfId="0" builtinId="0"/>
    <cellStyle name="Output" xfId="1" builtinId="2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FB0388-7F44-449C-B40A-027365AFF9EF}" name="Table24" displayName="Table24" ref="G1:H7" totalsRowShown="0">
  <autoFilter ref="G1:H7" xr:uid="{FCFB0388-7F44-449C-B40A-027365AFF9EF}">
    <filterColumn colId="0" hiddenButton="1"/>
    <filterColumn colId="1" hiddenButton="1"/>
  </autoFilter>
  <tableColumns count="2">
    <tableColumn id="1" xr3:uid="{49BC58D9-314B-47FB-9B88-A1236FF41B00}" name="Movie"/>
    <tableColumn id="2" xr3:uid="{6FD5B7C6-899A-4CAB-B61B-CBF7EA71B3AC}" name="User Rating (1-10)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B5F504-460E-4501-950F-C57092A6A751}" name="Table5" displayName="Table5" ref="G20:H23" totalsRowShown="0">
  <tableColumns count="2">
    <tableColumn id="1" xr3:uid="{78975EAD-7742-4388-A71B-140DFF38FA91}" name="Movie"/>
    <tableColumn id="2" xr3:uid="{C61B58D3-A1C7-40DD-BF79-7C3495ACB0DC}" name="Predicted Rating (1-10)" dataDxfId="0">
      <calculatedColumnFormula>ROUND(M13*10,2)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993B-E6B2-4B46-876C-586ACFF73F40}">
  <dimension ref="A1:M23"/>
  <sheetViews>
    <sheetView tabSelected="1" workbookViewId="0">
      <selection activeCell="N26" sqref="N26"/>
    </sheetView>
  </sheetViews>
  <sheetFormatPr defaultRowHeight="14.4" x14ac:dyDescent="0.3"/>
  <cols>
    <col min="1" max="1" width="24" bestFit="1" customWidth="1"/>
    <col min="2" max="2" width="11.21875" bestFit="1" customWidth="1"/>
    <col min="3" max="3" width="12" bestFit="1" customWidth="1"/>
    <col min="4" max="4" width="9.21875" bestFit="1" customWidth="1"/>
    <col min="5" max="5" width="6.44140625" bestFit="1" customWidth="1"/>
    <col min="7" max="7" width="24" bestFit="1" customWidth="1"/>
    <col min="8" max="8" width="20.109375" customWidth="1"/>
    <col min="13" max="13" width="15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0</v>
      </c>
      <c r="H1" t="s">
        <v>11</v>
      </c>
    </row>
    <row r="2" spans="1:13" x14ac:dyDescent="0.3">
      <c r="A2" s="2" t="s">
        <v>5</v>
      </c>
      <c r="B2" s="1">
        <v>0</v>
      </c>
      <c r="C2" s="1">
        <v>1</v>
      </c>
      <c r="D2" s="1">
        <v>1</v>
      </c>
      <c r="E2" s="1">
        <v>0</v>
      </c>
      <c r="G2" t="s">
        <v>5</v>
      </c>
      <c r="H2">
        <v>2</v>
      </c>
    </row>
    <row r="3" spans="1:13" x14ac:dyDescent="0.3">
      <c r="A3" s="2" t="s">
        <v>6</v>
      </c>
      <c r="B3" s="1">
        <v>1</v>
      </c>
      <c r="C3" s="1">
        <v>1</v>
      </c>
      <c r="D3" s="1">
        <v>1</v>
      </c>
      <c r="E3" s="1">
        <v>1</v>
      </c>
      <c r="G3" t="s">
        <v>6</v>
      </c>
      <c r="H3">
        <v>10</v>
      </c>
    </row>
    <row r="4" spans="1:13" x14ac:dyDescent="0.3">
      <c r="A4" s="2" t="s">
        <v>7</v>
      </c>
      <c r="B4" s="1">
        <v>1</v>
      </c>
      <c r="C4" s="1">
        <v>0</v>
      </c>
      <c r="D4" s="1">
        <v>1</v>
      </c>
      <c r="E4" s="1">
        <v>0</v>
      </c>
      <c r="G4" t="s">
        <v>7</v>
      </c>
      <c r="H4">
        <v>8</v>
      </c>
    </row>
    <row r="5" spans="1:13" x14ac:dyDescent="0.3">
      <c r="A5" s="2" t="s">
        <v>8</v>
      </c>
      <c r="B5" s="1">
        <v>1</v>
      </c>
      <c r="C5" s="1">
        <v>1</v>
      </c>
      <c r="D5" s="1">
        <v>0</v>
      </c>
      <c r="E5" s="1">
        <v>1</v>
      </c>
      <c r="G5" t="s">
        <v>8</v>
      </c>
    </row>
    <row r="6" spans="1:13" x14ac:dyDescent="0.3">
      <c r="A6" s="2" t="s">
        <v>9</v>
      </c>
      <c r="B6" s="1">
        <v>0</v>
      </c>
      <c r="C6" s="1">
        <v>0</v>
      </c>
      <c r="D6" s="1">
        <v>1</v>
      </c>
      <c r="E6" s="1">
        <v>0</v>
      </c>
      <c r="G6" t="s">
        <v>9</v>
      </c>
    </row>
    <row r="7" spans="1:13" x14ac:dyDescent="0.3">
      <c r="A7" s="2" t="s">
        <v>10</v>
      </c>
      <c r="B7" s="1">
        <v>1</v>
      </c>
      <c r="C7" s="1">
        <v>0</v>
      </c>
      <c r="D7" s="1">
        <v>1</v>
      </c>
      <c r="E7" s="1">
        <v>0</v>
      </c>
      <c r="G7" t="s">
        <v>10</v>
      </c>
    </row>
    <row r="10" spans="1:13" x14ac:dyDescent="0.3">
      <c r="A10" s="3" t="s">
        <v>12</v>
      </c>
      <c r="G10" s="6" t="s">
        <v>17</v>
      </c>
    </row>
    <row r="11" spans="1:13" ht="15" thickBot="1" x14ac:dyDescent="0.35"/>
    <row r="12" spans="1:13" ht="15.6" thickTop="1" thickBot="1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G12" s="1" t="s">
        <v>0</v>
      </c>
      <c r="H12" s="1" t="s">
        <v>1</v>
      </c>
      <c r="I12" s="1" t="s">
        <v>2</v>
      </c>
      <c r="J12" s="1" t="s">
        <v>3</v>
      </c>
      <c r="K12" s="1" t="s">
        <v>4</v>
      </c>
      <c r="M12" s="7" t="s">
        <v>18</v>
      </c>
    </row>
    <row r="13" spans="1:13" ht="15" thickTop="1" x14ac:dyDescent="0.3">
      <c r="A13" s="2" t="s">
        <v>5</v>
      </c>
      <c r="B13" s="1">
        <f>IF($H2&lt;&gt;"",$H2 * B2, "")</f>
        <v>0</v>
      </c>
      <c r="C13" s="1">
        <f t="shared" ref="C13:E13" si="0">IF($H2&lt;&gt;"",$H2 * C2, "")</f>
        <v>2</v>
      </c>
      <c r="D13" s="1">
        <f t="shared" si="0"/>
        <v>2</v>
      </c>
      <c r="E13" s="1">
        <f t="shared" si="0"/>
        <v>0</v>
      </c>
      <c r="G13" t="str">
        <f>IF($H5="",$G5,"")</f>
        <v>Hitchhiker's Guide to Galaxy</v>
      </c>
      <c r="H13">
        <f>B5*B$23</f>
        <v>0.3</v>
      </c>
      <c r="I13">
        <f t="shared" ref="I13:K13" si="1">C5*C$23</f>
        <v>0.2</v>
      </c>
      <c r="J13">
        <f t="shared" si="1"/>
        <v>0</v>
      </c>
      <c r="K13">
        <f t="shared" si="1"/>
        <v>0.16666666666666666</v>
      </c>
      <c r="M13">
        <f>SUM(H13:K13)</f>
        <v>0.66666666666666663</v>
      </c>
    </row>
    <row r="14" spans="1:13" x14ac:dyDescent="0.3">
      <c r="A14" s="2" t="s">
        <v>6</v>
      </c>
      <c r="B14" s="1">
        <f t="shared" ref="B14:E14" si="2">IF($H3&lt;&gt;"",$H3 * B3, "")</f>
        <v>10</v>
      </c>
      <c r="C14" s="1">
        <f t="shared" si="2"/>
        <v>10</v>
      </c>
      <c r="D14" s="1">
        <f t="shared" si="2"/>
        <v>10</v>
      </c>
      <c r="E14" s="1">
        <f t="shared" si="2"/>
        <v>10</v>
      </c>
      <c r="G14" t="str">
        <f t="shared" ref="G14:G15" si="3">IF($H6="",$G6,"")</f>
        <v>Batman Begins</v>
      </c>
      <c r="H14">
        <f t="shared" ref="H14:H15" si="4">B6*B$23</f>
        <v>0</v>
      </c>
      <c r="I14">
        <f t="shared" ref="I14:I15" si="5">C6*C$23</f>
        <v>0</v>
      </c>
      <c r="J14">
        <f t="shared" ref="J14:J15" si="6">D6*D$23</f>
        <v>0.33333333333333331</v>
      </c>
      <c r="K14">
        <f t="shared" ref="K14:K15" si="7">E6*E$23</f>
        <v>0</v>
      </c>
      <c r="M14">
        <f t="shared" ref="M14:M15" si="8">SUM(H14:K14)</f>
        <v>0.33333333333333331</v>
      </c>
    </row>
    <row r="15" spans="1:13" x14ac:dyDescent="0.3">
      <c r="A15" s="2" t="s">
        <v>7</v>
      </c>
      <c r="B15" s="1">
        <f t="shared" ref="B15:E15" si="9">IF($H4&lt;&gt;"",$H4 * B4, "")</f>
        <v>8</v>
      </c>
      <c r="C15" s="1">
        <f t="shared" si="9"/>
        <v>0</v>
      </c>
      <c r="D15" s="1">
        <f t="shared" si="9"/>
        <v>8</v>
      </c>
      <c r="E15" s="1">
        <f t="shared" si="9"/>
        <v>0</v>
      </c>
      <c r="G15" t="str">
        <f t="shared" si="3"/>
        <v>Spiderman</v>
      </c>
      <c r="H15">
        <f t="shared" si="4"/>
        <v>0.3</v>
      </c>
      <c r="I15">
        <f t="shared" si="5"/>
        <v>0</v>
      </c>
      <c r="J15">
        <f t="shared" si="6"/>
        <v>0.33333333333333331</v>
      </c>
      <c r="K15">
        <f t="shared" si="7"/>
        <v>0</v>
      </c>
      <c r="M15">
        <f t="shared" si="8"/>
        <v>0.6333333333333333</v>
      </c>
    </row>
    <row r="16" spans="1:13" x14ac:dyDescent="0.3">
      <c r="A16" s="2" t="s">
        <v>8</v>
      </c>
      <c r="B16" s="1" t="str">
        <f t="shared" ref="B16:E16" si="10">IF($H5&lt;&gt;"",$H5 * B5, "")</f>
        <v/>
      </c>
      <c r="C16" s="1" t="str">
        <f t="shared" si="10"/>
        <v/>
      </c>
      <c r="D16" s="1" t="str">
        <f t="shared" si="10"/>
        <v/>
      </c>
      <c r="E16" s="1" t="str">
        <f t="shared" si="10"/>
        <v/>
      </c>
    </row>
    <row r="17" spans="1:8" x14ac:dyDescent="0.3">
      <c r="A17" s="2" t="s">
        <v>9</v>
      </c>
      <c r="B17" s="1" t="str">
        <f t="shared" ref="B17:E17" si="11">IF($H6&lt;&gt;"",$H6 * B6, "")</f>
        <v/>
      </c>
      <c r="C17" s="1" t="str">
        <f t="shared" si="11"/>
        <v/>
      </c>
      <c r="D17" s="1" t="str">
        <f t="shared" si="11"/>
        <v/>
      </c>
      <c r="E17" s="1" t="str">
        <f t="shared" si="11"/>
        <v/>
      </c>
    </row>
    <row r="18" spans="1:8" x14ac:dyDescent="0.3">
      <c r="A18" s="2" t="s">
        <v>10</v>
      </c>
      <c r="B18" s="1" t="str">
        <f t="shared" ref="B18:E18" si="12">IF($H7&lt;&gt;"",$H7 * B7, "")</f>
        <v/>
      </c>
      <c r="C18" s="1" t="str">
        <f t="shared" si="12"/>
        <v/>
      </c>
      <c r="D18" s="1" t="str">
        <f t="shared" si="12"/>
        <v/>
      </c>
      <c r="E18" s="1" t="str">
        <f t="shared" si="12"/>
        <v/>
      </c>
    </row>
    <row r="20" spans="1:8" x14ac:dyDescent="0.3">
      <c r="A20" s="3" t="s">
        <v>13</v>
      </c>
      <c r="G20" t="s">
        <v>0</v>
      </c>
      <c r="H20" t="s">
        <v>19</v>
      </c>
    </row>
    <row r="21" spans="1:8" x14ac:dyDescent="0.3">
      <c r="A21" s="1" t="s">
        <v>14</v>
      </c>
      <c r="B21" s="1" t="s">
        <v>1</v>
      </c>
      <c r="C21" s="1" t="s">
        <v>2</v>
      </c>
      <c r="D21" s="1" t="s">
        <v>3</v>
      </c>
      <c r="E21" s="1" t="s">
        <v>4</v>
      </c>
      <c r="G21" t="s">
        <v>8</v>
      </c>
      <c r="H21">
        <f t="shared" ref="H21:H23" si="13">ROUND(M13*10,2)</f>
        <v>6.67</v>
      </c>
    </row>
    <row r="22" spans="1:8" x14ac:dyDescent="0.3">
      <c r="A22" s="4" t="s">
        <v>15</v>
      </c>
      <c r="B22" s="5">
        <f>SUM(B13:B18)</f>
        <v>18</v>
      </c>
      <c r="C22" s="5">
        <f t="shared" ref="C22:E22" si="14">SUM(C13:C18)</f>
        <v>12</v>
      </c>
      <c r="D22" s="5">
        <f t="shared" si="14"/>
        <v>20</v>
      </c>
      <c r="E22" s="5">
        <f t="shared" si="14"/>
        <v>10</v>
      </c>
      <c r="G22" t="s">
        <v>9</v>
      </c>
      <c r="H22">
        <f t="shared" si="13"/>
        <v>3.33</v>
      </c>
    </row>
    <row r="23" spans="1:8" x14ac:dyDescent="0.3">
      <c r="A23" s="4" t="s">
        <v>16</v>
      </c>
      <c r="B23" s="5">
        <f>B22/SUM($B$22:$E$22)</f>
        <v>0.3</v>
      </c>
      <c r="C23" s="5">
        <f t="shared" ref="C23:E23" si="15">C22/SUM($B$22:$E$22)</f>
        <v>0.2</v>
      </c>
      <c r="D23" s="5">
        <f t="shared" si="15"/>
        <v>0.33333333333333331</v>
      </c>
      <c r="E23" s="5">
        <f t="shared" si="15"/>
        <v>0.16666666666666666</v>
      </c>
      <c r="G23" t="s">
        <v>10</v>
      </c>
      <c r="H23">
        <f t="shared" si="13"/>
        <v>6.33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S R</dc:creator>
  <cp:lastModifiedBy>Nimisha S R</cp:lastModifiedBy>
  <dcterms:created xsi:type="dcterms:W3CDTF">2026-03-24T05:54:05Z</dcterms:created>
  <dcterms:modified xsi:type="dcterms:W3CDTF">2026-03-30T01:47:03Z</dcterms:modified>
</cp:coreProperties>
</file>